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紀錄" sheetId="1" state="visible" r:id="rId1"/>
    <sheet xmlns:r="http://schemas.openxmlformats.org/officeDocument/2006/relationships" name="設定" sheetId="2" state="visible" r:id="rId2"/>
    <sheet xmlns:r="http://schemas.openxmlformats.org/officeDocument/2006/relationships" name="菜單規劃" sheetId="3" state="visible" r:id="rId3"/>
  </sheets>
  <definedNames>
    <definedName name="_xlnm._FilterDatabase" localSheetId="0" hidden="1">'每日紀錄'!$A$4:$P$4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0.0%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666666"/>
      <sz val="10"/>
    </font>
    <font>
      <name val="Aptos"/>
      <b val="1"/>
      <color rgb="00FFFFFF"/>
      <sz val="10"/>
    </font>
    <font>
      <name val="Aptos"/>
      <b val="1"/>
      <color rgb="00FFFFFF"/>
      <sz val="11"/>
    </font>
    <font>
      <name val="Aptos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bottom style="thin">
        <color rgb="00D9E2F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164" fontId="0" fillId="4" borderId="2" pivotButton="0" quotePrefix="0" xfId="0"/>
    <xf numFmtId="0" fontId="0" fillId="4" borderId="2" pivotButton="0" quotePrefix="0" xfId="0"/>
    <xf numFmtId="165" fontId="0" fillId="4" borderId="2" pivotButton="0" quotePrefix="0" xfId="0"/>
    <xf numFmtId="165" fontId="0" fillId="0" borderId="2" pivotButton="0" quotePrefix="0" xfId="0"/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4" fillId="3" borderId="0" applyAlignment="1" pivotButton="0" quotePrefix="0" xfId="0">
      <alignment vertical="center"/>
    </xf>
    <xf numFmtId="0" fontId="0" fillId="0" borderId="2" pivotButton="0" quotePrefix="0" xfId="0"/>
    <xf numFmtId="166" fontId="0" fillId="4" borderId="2" pivotButton="0" quotePrefix="0" xfId="0"/>
    <xf numFmtId="0" fontId="2" fillId="0" borderId="0" applyAlignment="1" pivotButton="0" quotePrefix="0" xfId="0">
      <alignment wrapText="1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5" fillId="4" borderId="2" applyAlignment="1" pivotButton="0" quotePrefix="0" xfId="0">
      <alignment vertical="center"/>
    </xf>
    <xf numFmtId="0" fontId="5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5" fillId="4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ilyRecordTable" displayName="DailyRecordTable" ref="A4:P5" headerRowCount="1">
  <autoFilter ref="A4:P4"/>
  <tableColumns count="16">
    <tableColumn id="1" name="日期"/>
    <tableColumn id="2" name="Day_Type"/>
    <tableColumn id="3" name="Calories"/>
    <tableColumn id="4" name="Target_Calories"/>
    <tableColumn id="5" name="Calorie_Diff"/>
    <tableColumn id="6" name="Protein"/>
    <tableColumn id="7" name="Target_Protein"/>
    <tableColumn id="8" name="Protein_Diff"/>
    <tableColumn id="9" name="Carbs"/>
    <tableColumn id="10" name="Target_Carbs"/>
    <tableColumn id="11" name="Carbs_Diff"/>
    <tableColumn id="12" name="Fat"/>
    <tableColumn id="13" name="Target_Fat"/>
    <tableColumn id="14" name="Fat_Diff"/>
    <tableColumn id="15" name="建議"/>
    <tableColumn id="16" name="備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rgetTable" displayName="TargetTable" ref="A11:F15" headerRowCount="1">
  <autoFilter ref="A11:F15"/>
  <tableColumns count="6">
    <tableColumn id="1" name="Metric"/>
    <tableColumn id="2" name="TRAINING 下限"/>
    <tableColumn id="3" name="TRAINING 上限"/>
    <tableColumn id="4" name="REST 下限"/>
    <tableColumn id="5" name="REST 上限"/>
    <tableColumn id="6" name="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  <col width="13" customWidth="1" min="5" max="5"/>
    <col width="11" customWidth="1" min="6" max="6"/>
    <col width="14" customWidth="1" min="7" max="7"/>
    <col width="13" customWidth="1" min="8" max="8"/>
    <col width="11" customWidth="1" min="9" max="9"/>
    <col width="13" customWidth="1" min="10" max="10"/>
    <col width="12" customWidth="1" min="11" max="11"/>
    <col width="10" customWidth="1" min="12" max="12"/>
    <col width="12" customWidth="1" min="13" max="13"/>
    <col width="11" customWidth="1" min="14" max="14"/>
    <col width="48" customWidth="1" min="15" max="15"/>
    <col width="28" customWidth="1" min="16" max="16"/>
  </cols>
  <sheetData>
    <row r="1" ht="28" customHeight="1">
      <c r="A1" s="1" t="inlineStr">
        <is>
          <t>減脂飲食追蹤｜每日紀錄</t>
        </is>
      </c>
    </row>
    <row r="2" ht="30" customHeight="1">
      <c r="A2" s="2" t="inlineStr">
        <is>
          <t>每天一列。差額 = 目標最低值 − 實際；正數表示還差多少。可直接用自然語言更新。</t>
        </is>
      </c>
    </row>
    <row r="4" ht="28" customHeight="1">
      <c r="A4" s="3" t="inlineStr">
        <is>
          <t>日期</t>
        </is>
      </c>
      <c r="B4" s="3" t="inlineStr">
        <is>
          <t>Day_Type</t>
        </is>
      </c>
      <c r="C4" s="3" t="inlineStr">
        <is>
          <t>Calories</t>
        </is>
      </c>
      <c r="D4" s="3" t="inlineStr">
        <is>
          <t>Target_Calories</t>
        </is>
      </c>
      <c r="E4" s="3" t="inlineStr">
        <is>
          <t>Calorie_Diff</t>
        </is>
      </c>
      <c r="F4" s="3" t="inlineStr">
        <is>
          <t>Protein</t>
        </is>
      </c>
      <c r="G4" s="3" t="inlineStr">
        <is>
          <t>Target_Protein</t>
        </is>
      </c>
      <c r="H4" s="3" t="inlineStr">
        <is>
          <t>Protein_Diff</t>
        </is>
      </c>
      <c r="I4" s="3" t="inlineStr">
        <is>
          <t>Carbs</t>
        </is>
      </c>
      <c r="J4" s="3" t="inlineStr">
        <is>
          <t>Target_Carbs</t>
        </is>
      </c>
      <c r="K4" s="3" t="inlineStr">
        <is>
          <t>Carbs_Diff</t>
        </is>
      </c>
      <c r="L4" s="3" t="inlineStr">
        <is>
          <t>Fat</t>
        </is>
      </c>
      <c r="M4" s="3" t="inlineStr">
        <is>
          <t>Target_Fat</t>
        </is>
      </c>
      <c r="N4" s="3" t="inlineStr">
        <is>
          <t>Fat_Diff</t>
        </is>
      </c>
      <c r="O4" s="3" t="inlineStr">
        <is>
          <t>建議</t>
        </is>
      </c>
      <c r="P4" s="3" t="inlineStr">
        <is>
          <t>備註</t>
        </is>
      </c>
    </row>
    <row r="5">
      <c r="A5" s="4" t="n">
        <v>46281</v>
      </c>
      <c r="B5" s="5" t="inlineStr">
        <is>
          <t>REST</t>
        </is>
      </c>
      <c r="C5" s="6" t="n">
        <v>415.2</v>
      </c>
      <c r="D5" s="7">
        <f>IF($B5="","",IF($B5="TRAINING",'設定'!$B$12,IF($B5="REST",'設定'!$D$12,"")))</f>
        <v/>
      </c>
      <c r="E5" s="7">
        <f>IF(OR($C5="",$D5=""),"",$D5-$C5)</f>
        <v/>
      </c>
      <c r="F5" s="6" t="n">
        <v>35.2</v>
      </c>
      <c r="G5" s="7">
        <f>IF($B5="","",IF($B5="TRAINING",'設定'!$B$13,IF($B5="REST",'設定'!$D$13,"")))</f>
        <v/>
      </c>
      <c r="H5" s="7">
        <f>IF(OR($F5="",$G5=""),"",$G5-$F5)</f>
        <v/>
      </c>
      <c r="I5" s="6" t="n">
        <v>38.8</v>
      </c>
      <c r="J5" s="7">
        <f>IF($B5="","",IF($B5="TRAINING",'設定'!$B$14,IF($B5="REST",'設定'!$D$14,"")))</f>
        <v/>
      </c>
      <c r="K5" s="7">
        <f>IF(OR($I5="",$J5=""),"",$J5-$I5)</f>
        <v/>
      </c>
      <c r="L5" s="6" t="n">
        <v>14.2</v>
      </c>
      <c r="M5" s="7">
        <f>IF($B5="","",IF($B5="TRAINING",'設定'!$B$15,IF($B5="REST",'設定'!$D$15,"")))</f>
        <v/>
      </c>
      <c r="N5" s="7">
        <f>IF(OR($L5="",$M5=""),"",$M5-$L5)</f>
        <v/>
      </c>
      <c r="O5" s="8">
        <f>IF($A5="","",IF($B5="","請先填 Day_Type（TRAINING 或 REST）",IF(OR($C5="",$F5="",$I5="",$L5=""),"請補齊 Calories、Protein、Carbs、Fat",IF($H5&gt;0,"優先補蛋白質。",IF($K5&gt;0,"蛋白質已足夠，優先補碳水，例如白飯或香蕉。",IF($N5&gt;0,"優先補脂肪。",IF($E5&gt;0,"三大營養素已達最低，熱量尚差；可補少量主食。","已達每日最低目標；蛋白質足夠，不需補充乳清。")))))))</f>
        <v/>
      </c>
      <c r="P5" s="9" t="n"/>
    </row>
  </sheetData>
  <autoFilter ref="A4:P4"/>
  <mergeCells count="2">
    <mergeCell ref="A1:P1"/>
    <mergeCell ref="A2:P2"/>
  </mergeCells>
  <conditionalFormatting sqref="E5:E5000">
    <cfRule type="cellIs" priority="1" operator="greaterThan" dxfId="0">
      <formula>0</formula>
    </cfRule>
  </conditionalFormatting>
  <conditionalFormatting sqref="H5:H5000">
    <cfRule type="cellIs" priority="2" operator="greaterThan" dxfId="0">
      <formula>0</formula>
    </cfRule>
  </conditionalFormatting>
  <conditionalFormatting sqref="K5:K5000">
    <cfRule type="cellIs" priority="3" operator="greaterThan" dxfId="0">
      <formula>0</formula>
    </cfRule>
  </conditionalFormatting>
  <conditionalFormatting sqref="N5:N5000">
    <cfRule type="cellIs" priority="4" operator="greaterThan" dxfId="0">
      <formula>0</formula>
    </cfRule>
  </conditionalFormatting>
  <dataValidations count="1">
    <dataValidation sqref="B5:B5000" showErrorMessage="1" showInputMessage="1" allowBlank="1" errorTitle="Day_Type 不正確" error="請填 TRAINING 或 REST" promptTitle="Day_Type" prompt="訓練日填 TRAINING，休息日填 REST" type="list">
      <formula1>"TRAINING,REST"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4" customWidth="1" min="4" max="4"/>
    <col width="14" customWidth="1" min="5" max="5"/>
    <col width="12" customWidth="1" min="6" max="6"/>
  </cols>
  <sheetData>
    <row r="1" ht="28" customHeight="1">
      <c r="A1" s="1" t="inlineStr">
        <is>
          <t>減脂飲食追蹤｜設定</t>
        </is>
      </c>
    </row>
    <row r="2" ht="30" customHeight="1">
      <c r="A2" s="2" t="inlineStr">
        <is>
          <t>只需調整黃色欄位。每日紀錄會依 Day_Type 自動比較目標最低值。</t>
        </is>
      </c>
    </row>
    <row r="4" ht="22" customHeight="1">
      <c r="A4" s="10" t="inlineStr">
        <is>
          <t>基本資料（保留目前設定）</t>
        </is>
      </c>
    </row>
    <row r="5" ht="28" customHeight="1">
      <c r="A5" s="3" t="inlineStr">
        <is>
          <t>項目</t>
        </is>
      </c>
      <c r="B5" s="3" t="inlineStr">
        <is>
          <t>數值</t>
        </is>
      </c>
      <c r="C5" s="3" t="inlineStr">
        <is>
          <t>單位</t>
        </is>
      </c>
      <c r="D5" s="3" t="inlineStr">
        <is>
          <t>說明</t>
        </is>
      </c>
    </row>
    <row r="6">
      <c r="A6" s="11" t="inlineStr">
        <is>
          <t>身高</t>
        </is>
      </c>
      <c r="B6" s="5" t="n">
        <v>174</v>
      </c>
      <c r="C6" s="11" t="inlineStr">
        <is>
          <t>cm</t>
        </is>
      </c>
      <c r="D6" s="11" t="inlineStr">
        <is>
          <t>使用者提供</t>
        </is>
      </c>
    </row>
    <row r="7">
      <c r="A7" s="11" t="inlineStr">
        <is>
          <t>目前體重</t>
        </is>
      </c>
      <c r="B7" s="5" t="n">
        <v>76.7</v>
      </c>
      <c r="C7" s="11" t="inlineStr">
        <is>
          <t>kg</t>
        </is>
      </c>
      <c r="D7" s="11" t="inlineStr">
        <is>
          <t>起始資料；可手動更新</t>
        </is>
      </c>
    </row>
    <row r="8">
      <c r="A8" s="11" t="inlineStr">
        <is>
          <t>目前體脂率</t>
        </is>
      </c>
      <c r="B8" s="12" t="n">
        <v>0.235</v>
      </c>
      <c r="C8" s="11" t="inlineStr">
        <is>
          <t>%</t>
        </is>
      </c>
      <c r="D8" s="11" t="inlineStr">
        <is>
          <t>起始資料；可手動更新</t>
        </is>
      </c>
    </row>
    <row r="10" ht="22" customHeight="1">
      <c r="A10" s="10" t="inlineStr">
        <is>
          <t>每日目標</t>
        </is>
      </c>
    </row>
    <row r="11" ht="28" customHeight="1">
      <c r="A11" s="3" t="inlineStr">
        <is>
          <t>Metric</t>
        </is>
      </c>
      <c r="B11" s="3" t="inlineStr">
        <is>
          <t>TRAINING 下限</t>
        </is>
      </c>
      <c r="C11" s="3" t="inlineStr">
        <is>
          <t>TRAINING 上限</t>
        </is>
      </c>
      <c r="D11" s="3" t="inlineStr">
        <is>
          <t>REST 下限</t>
        </is>
      </c>
      <c r="E11" s="3" t="inlineStr">
        <is>
          <t>REST 上限</t>
        </is>
      </c>
      <c r="F11" s="3" t="inlineStr">
        <is>
          <t>Unit</t>
        </is>
      </c>
    </row>
    <row r="12">
      <c r="A12" s="11" t="inlineStr">
        <is>
          <t>Calories</t>
        </is>
      </c>
      <c r="B12" s="6" t="n">
        <v>2150</v>
      </c>
      <c r="C12" s="6" t="n">
        <v>2150</v>
      </c>
      <c r="D12" s="6" t="n">
        <v>1850</v>
      </c>
      <c r="E12" s="6" t="n">
        <v>1850</v>
      </c>
      <c r="F12" s="11" t="inlineStr">
        <is>
          <t>kcal</t>
        </is>
      </c>
    </row>
    <row r="13">
      <c r="A13" s="11" t="inlineStr">
        <is>
          <t>Protein</t>
        </is>
      </c>
      <c r="B13" s="6" t="n">
        <v>165</v>
      </c>
      <c r="C13" s="6" t="n">
        <v>175</v>
      </c>
      <c r="D13" s="6" t="n">
        <v>160</v>
      </c>
      <c r="E13" s="6" t="n">
        <v>170</v>
      </c>
      <c r="F13" s="11" t="inlineStr">
        <is>
          <t>g</t>
        </is>
      </c>
    </row>
    <row r="14">
      <c r="A14" s="11" t="inlineStr">
        <is>
          <t>Carbs</t>
        </is>
      </c>
      <c r="B14" s="6" t="n">
        <v>220</v>
      </c>
      <c r="C14" s="6" t="n">
        <v>240</v>
      </c>
      <c r="D14" s="6" t="n">
        <v>150</v>
      </c>
      <c r="E14" s="6" t="n">
        <v>165</v>
      </c>
      <c r="F14" s="11" t="inlineStr">
        <is>
          <t>g</t>
        </is>
      </c>
    </row>
    <row r="15">
      <c r="A15" s="11" t="inlineStr">
        <is>
          <t>Fat</t>
        </is>
      </c>
      <c r="B15" s="6" t="n">
        <v>55</v>
      </c>
      <c r="C15" s="6" t="n">
        <v>65</v>
      </c>
      <c r="D15" s="6" t="n">
        <v>55</v>
      </c>
      <c r="E15" s="6" t="n">
        <v>65</v>
      </c>
      <c r="F15" s="11" t="inlineStr">
        <is>
          <t>g</t>
        </is>
      </c>
    </row>
    <row r="17" ht="24" customHeight="1">
      <c r="A17" s="13" t="inlineStr">
        <is>
          <t>差額以每日目標的下限計算；若 Protein 已達下限，建議欄不會推薦乳清。</t>
        </is>
      </c>
    </row>
  </sheetData>
  <mergeCells count="5">
    <mergeCell ref="A1:F1"/>
    <mergeCell ref="A2:F2"/>
    <mergeCell ref="A4:F4"/>
    <mergeCell ref="A10:F10"/>
    <mergeCell ref="A17:F17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6" customWidth="1" min="4" max="4"/>
    <col width="16" customWidth="1" min="5" max="5"/>
    <col width="38" customWidth="1" min="6" max="6"/>
    <col width="14" customWidth="1" min="7" max="7"/>
    <col width="30" customWidth="1" min="8" max="8"/>
  </cols>
  <sheetData>
    <row r="1" ht="28" customHeight="1">
      <c r="A1" s="1" t="inlineStr">
        <is>
          <t>減脂菜單規劃｜一週四練</t>
        </is>
      </c>
    </row>
    <row r="2" ht="30" customHeight="1">
      <c r="A2" s="2" t="inlineStr">
        <is>
          <t>保留原始菜單作為參考；日常只需在「每日紀錄」填入 Calories、Protein、Carbs、Fat。</t>
        </is>
      </c>
    </row>
    <row r="4" ht="22" customHeight="1">
      <c r="A4" s="10" t="inlineStr">
        <is>
          <t>訓練日菜單｜晚上重訓</t>
        </is>
      </c>
    </row>
    <row r="5" ht="28" customHeight="1">
      <c r="A5" s="3" t="inlineStr">
        <is>
          <t>時間</t>
        </is>
      </c>
      <c r="B5" s="3" t="inlineStr">
        <is>
          <t>餐次</t>
        </is>
      </c>
      <c r="C5" s="3" t="inlineStr">
        <is>
          <t>雞胸（生重）</t>
        </is>
      </c>
      <c r="D5" s="3" t="inlineStr">
        <is>
          <t>白飯（熟重）</t>
        </is>
      </c>
      <c r="E5" s="3" t="inlineStr">
        <is>
          <t>生米約米杯</t>
        </is>
      </c>
      <c r="F5" s="3" t="inlineStr">
        <is>
          <t>其他食物</t>
        </is>
      </c>
      <c r="G5" s="3" t="inlineStr">
        <is>
          <t>青菜</t>
        </is>
      </c>
      <c r="H5" s="3" t="inlineStr">
        <is>
          <t>備註</t>
        </is>
      </c>
    </row>
    <row r="6" ht="30" customHeight="1">
      <c r="A6" s="23" t="inlineStr">
        <is>
          <t>07:30</t>
        </is>
      </c>
      <c r="B6" s="23" t="inlineStr">
        <is>
          <t>早餐</t>
        </is>
      </c>
      <c r="C6" s="23" t="inlineStr">
        <is>
          <t>—</t>
        </is>
      </c>
      <c r="D6" s="23" t="inlineStr">
        <is>
          <t>120 g</t>
        </is>
      </c>
      <c r="E6" s="23" t="inlineStr">
        <is>
          <t>約 1/3 杯</t>
        </is>
      </c>
      <c r="F6" s="15" t="inlineStr">
        <is>
          <t>全蛋 2 顆</t>
        </is>
      </c>
      <c r="G6" s="23" t="inlineStr">
        <is>
          <t>—</t>
        </is>
      </c>
      <c r="H6" s="15" t="inlineStr">
        <is>
          <t>正常吃，不需刻意低碳</t>
        </is>
      </c>
    </row>
    <row r="7" ht="30" customHeight="1">
      <c r="A7" s="23" t="inlineStr">
        <is>
          <t>12:30</t>
        </is>
      </c>
      <c r="B7" s="23" t="inlineStr">
        <is>
          <t>午餐</t>
        </is>
      </c>
      <c r="C7" s="23" t="inlineStr">
        <is>
          <t>150 g（半盒）</t>
        </is>
      </c>
      <c r="D7" s="23" t="inlineStr">
        <is>
          <t>180 g</t>
        </is>
      </c>
      <c r="E7" s="23" t="inlineStr">
        <is>
          <t>約 0.55 杯</t>
        </is>
      </c>
      <c r="F7" s="15" t="inlineStr">
        <is>
          <t>鯖魚日加台糖水煮鯖魚 1/2 罐</t>
        </is>
      </c>
      <c r="G7" s="23" t="inlineStr">
        <is>
          <t>200 g</t>
        </is>
      </c>
      <c r="H7" s="15" t="inlineStr">
        <is>
          <t>鯖魚每週 3 次即可</t>
        </is>
      </c>
    </row>
    <row r="8" ht="30" customHeight="1">
      <c r="A8" s="23" t="inlineStr">
        <is>
          <t>17:30</t>
        </is>
      </c>
      <c r="B8" s="23" t="inlineStr">
        <is>
          <t>訓前餐</t>
        </is>
      </c>
      <c r="C8" s="23" t="inlineStr">
        <is>
          <t>—</t>
        </is>
      </c>
      <c r="D8" s="23" t="inlineStr">
        <is>
          <t>180 g</t>
        </is>
      </c>
      <c r="E8" s="23" t="inlineStr">
        <is>
          <t>約 0.55 杯</t>
        </is>
      </c>
      <c r="F8" s="15" t="inlineStr">
        <is>
          <t>樂維根麵茶植物蛋白 1 份（40 g）＋香蕉 1 根</t>
        </is>
      </c>
      <c r="G8" s="23" t="inlineStr">
        <is>
          <t>—</t>
        </is>
      </c>
      <c r="H8" s="15" t="inlineStr">
        <is>
          <t>盡量距訓練 1.5–2.5 小時</t>
        </is>
      </c>
    </row>
    <row r="9" ht="30" customHeight="1">
      <c r="A9" s="23" t="inlineStr">
        <is>
          <t>19:30–21:00</t>
        </is>
      </c>
      <c r="B9" s="23" t="inlineStr">
        <is>
          <t>重訓</t>
        </is>
      </c>
      <c r="C9" s="23" t="inlineStr">
        <is>
          <t>—</t>
        </is>
      </c>
      <c r="D9" s="23" t="inlineStr">
        <is>
          <t>—</t>
        </is>
      </c>
      <c r="E9" s="23" t="inlineStr">
        <is>
          <t>—</t>
        </is>
      </c>
      <c r="F9" s="15" t="inlineStr">
        <is>
          <t>水</t>
        </is>
      </c>
      <c r="G9" s="23" t="inlineStr">
        <is>
          <t>—</t>
        </is>
      </c>
      <c r="H9" s="15" t="inlineStr">
        <is>
          <t>依實際訓練時間前後平移</t>
        </is>
      </c>
    </row>
    <row r="10" ht="30" customHeight="1">
      <c r="A10" s="23" t="inlineStr">
        <is>
          <t>21:00</t>
        </is>
      </c>
      <c r="B10" s="23" t="inlineStr">
        <is>
          <t>訓後晚餐</t>
        </is>
      </c>
      <c r="C10" s="23" t="inlineStr">
        <is>
          <t>150 g（半盒）</t>
        </is>
      </c>
      <c r="D10" s="23" t="inlineStr">
        <is>
          <t>160 g</t>
        </is>
      </c>
      <c r="E10" s="23" t="inlineStr">
        <is>
          <t>約 1/2 杯</t>
        </is>
      </c>
      <c r="F10" s="15" t="inlineStr">
        <is>
          <t>全蛋 2 顆</t>
        </is>
      </c>
      <c r="G10" s="23" t="inlineStr">
        <is>
          <t>200 g</t>
        </is>
      </c>
      <c r="H10" s="15" t="inlineStr">
        <is>
          <t>晚間吃白飯沒有問題</t>
        </is>
      </c>
    </row>
    <row r="11" ht="30" customHeight="1">
      <c r="A11" s="23" t="inlineStr">
        <is>
          <t>睡前</t>
        </is>
      </c>
      <c r="B11" s="23" t="inlineStr">
        <is>
          <t>視需要補蛋白</t>
        </is>
      </c>
      <c r="C11" s="23" t="inlineStr">
        <is>
          <t>—</t>
        </is>
      </c>
      <c r="D11" s="23" t="inlineStr">
        <is>
          <t>—</t>
        </is>
      </c>
      <c r="E11" s="23" t="inlineStr">
        <is>
          <t>—</t>
        </is>
      </c>
      <c r="F11" s="15" t="inlineStr">
        <is>
          <t>樂維根麵茶植物蛋白 0.5–1 份</t>
        </is>
      </c>
      <c r="G11" s="23" t="inlineStr">
        <is>
          <t>—</t>
        </is>
      </c>
      <c r="H11" s="15" t="inlineStr">
        <is>
          <t>當天蛋白質足夠可省略</t>
        </is>
      </c>
    </row>
    <row r="12" ht="34" customHeight="1">
      <c r="A12" s="22" t="inlineStr">
        <is>
          <t>每日合計</t>
        </is>
      </c>
      <c r="B12" s="22" t="n"/>
      <c r="C12" s="22" t="inlineStr">
        <is>
          <t>300 g（1盒）</t>
        </is>
      </c>
      <c r="D12" s="22" t="inlineStr">
        <is>
          <t>640 g</t>
        </is>
      </c>
      <c r="E12" s="22" t="inlineStr">
        <is>
          <t>約 1.9–2.0 杯</t>
        </is>
      </c>
      <c r="F12" s="17" t="inlineStr">
        <is>
          <t>全蛋 4 顆＋樂維根麵茶植物蛋白 1.5–2 份＋香蕉 1 根</t>
        </is>
      </c>
      <c r="G12" s="22" t="inlineStr">
        <is>
          <t>至少 400 g</t>
        </is>
      </c>
      <c r="H12" s="22" t="n"/>
    </row>
    <row r="15" ht="22" customHeight="1">
      <c r="A15" s="10" t="inlineStr">
        <is>
          <t>休息日菜單</t>
        </is>
      </c>
    </row>
    <row r="16" ht="28" customHeight="1">
      <c r="A16" s="3" t="inlineStr">
        <is>
          <t>時間</t>
        </is>
      </c>
      <c r="B16" s="3" t="inlineStr">
        <is>
          <t>餐次</t>
        </is>
      </c>
      <c r="C16" s="3" t="inlineStr">
        <is>
          <t>雞胸（生重）</t>
        </is>
      </c>
      <c r="D16" s="3" t="inlineStr">
        <is>
          <t>白飯（熟重）</t>
        </is>
      </c>
      <c r="E16" s="3" t="inlineStr">
        <is>
          <t>生米約米杯</t>
        </is>
      </c>
      <c r="F16" s="3" t="inlineStr">
        <is>
          <t>其他食物</t>
        </is>
      </c>
      <c r="G16" s="3" t="inlineStr">
        <is>
          <t>青菜</t>
        </is>
      </c>
      <c r="H16" s="3" t="inlineStr">
        <is>
          <t>備註</t>
        </is>
      </c>
    </row>
    <row r="17" ht="30" customHeight="1">
      <c r="A17" s="23" t="inlineStr">
        <is>
          <t>12:30</t>
        </is>
      </c>
      <c r="B17" s="23" t="inlineStr">
        <is>
          <t>午餐</t>
        </is>
      </c>
      <c r="C17" s="23" t="inlineStr">
        <is>
          <t>150 g（半盒）</t>
        </is>
      </c>
      <c r="D17" s="23" t="inlineStr">
        <is>
          <t>200 g</t>
        </is>
      </c>
      <c r="E17" s="23" t="inlineStr">
        <is>
          <t>約 0.60 杯</t>
        </is>
      </c>
      <c r="F17" s="15" t="inlineStr">
        <is>
          <t>鯖魚日加台糖水煮鯖魚 1/2 罐</t>
        </is>
      </c>
      <c r="G17" s="23" t="inlineStr">
        <is>
          <t>300 g</t>
        </is>
      </c>
      <c r="H17" s="15" t="inlineStr">
        <is>
          <t>鯖魚每週 3 次即可</t>
        </is>
      </c>
    </row>
    <row r="18" ht="30" customHeight="1">
      <c r="A18" s="23" t="inlineStr">
        <is>
          <t>16:00</t>
        </is>
      </c>
      <c r="B18" s="23" t="inlineStr">
        <is>
          <t>下午茶</t>
        </is>
      </c>
      <c r="C18" s="23" t="inlineStr">
        <is>
          <t>—</t>
        </is>
      </c>
      <c r="D18" s="23" t="inlineStr">
        <is>
          <t>100 g</t>
        </is>
      </c>
      <c r="E18" s="23" t="inlineStr">
        <is>
          <t>約 0.30 杯</t>
        </is>
      </c>
      <c r="F18" s="15" t="inlineStr">
        <is>
          <t>全蛋 2 顆＋樂維根麵茶植物蛋白 1–1.5 份</t>
        </is>
      </c>
      <c r="G18" s="23" t="inlineStr">
        <is>
          <t>—</t>
        </is>
      </c>
      <c r="H18" s="15" t="inlineStr">
        <is>
          <t>把原早餐內容移到下午茶；若蛋白質不足再補 0.5 份</t>
        </is>
      </c>
    </row>
    <row r="19" ht="30" customHeight="1">
      <c r="A19" s="23" t="inlineStr">
        <is>
          <t>18:30</t>
        </is>
      </c>
      <c r="B19" s="23" t="inlineStr">
        <is>
          <t>晚餐</t>
        </is>
      </c>
      <c r="C19" s="23" t="inlineStr">
        <is>
          <t>150 g（半盒）</t>
        </is>
      </c>
      <c r="D19" s="23" t="inlineStr">
        <is>
          <t>150 g</t>
        </is>
      </c>
      <c r="E19" s="23" t="inlineStr">
        <is>
          <t>約 0.45 杯</t>
        </is>
      </c>
      <c r="F19" s="15" t="inlineStr">
        <is>
          <t>全蛋 2 顆</t>
        </is>
      </c>
      <c r="G19" s="23" t="inlineStr">
        <is>
          <t>300 g</t>
        </is>
      </c>
      <c r="H19" s="15" t="inlineStr"/>
    </row>
    <row r="20" ht="34" customHeight="1">
      <c r="A20" s="22" t="inlineStr">
        <is>
          <t>每日合計</t>
        </is>
      </c>
      <c r="B20" s="22" t="inlineStr"/>
      <c r="C20" s="22" t="inlineStr">
        <is>
          <t>300 g（1盒）</t>
        </is>
      </c>
      <c r="D20" s="22" t="inlineStr">
        <is>
          <t>450 g</t>
        </is>
      </c>
      <c r="E20" s="22" t="inlineStr">
        <is>
          <t>約 1.35–1.4 杯</t>
        </is>
      </c>
      <c r="F20" s="17" t="inlineStr">
        <is>
          <t>全蛋 4 顆＋樂維根麵茶植物蛋白 1–1.5 份</t>
        </is>
      </c>
      <c r="G20" s="22" t="inlineStr">
        <is>
          <t>約 600 g</t>
        </is>
      </c>
      <c r="H20" s="22" t="inlineStr"/>
    </row>
    <row r="24" ht="22" customHeight="1">
      <c r="A24" s="10" t="inlineStr">
        <is>
          <t>每週安排</t>
        </is>
      </c>
    </row>
    <row r="25" ht="28" customHeight="1">
      <c r="A25" s="3" t="inlineStr">
        <is>
          <t>星期</t>
        </is>
      </c>
      <c r="B25" s="3" t="inlineStr">
        <is>
          <t>類型</t>
        </is>
      </c>
      <c r="C25" s="3" t="inlineStr">
        <is>
          <t>雞胸</t>
        </is>
      </c>
      <c r="D25" s="3" t="inlineStr">
        <is>
          <t>生米</t>
        </is>
      </c>
      <c r="E25" s="3" t="inlineStr">
        <is>
          <t>鯖魚</t>
        </is>
      </c>
      <c r="F25" s="3" t="inlineStr">
        <is>
          <t>蛋</t>
        </is>
      </c>
    </row>
    <row r="26" ht="22" customHeight="1">
      <c r="A26" s="23" t="inlineStr">
        <is>
          <t>週一</t>
        </is>
      </c>
      <c r="B26" s="23" t="inlineStr">
        <is>
          <t>訓練日</t>
        </is>
      </c>
      <c r="C26" s="23" t="inlineStr">
        <is>
          <t>1盒</t>
        </is>
      </c>
      <c r="D26" s="23" t="inlineStr">
        <is>
          <t>約2杯</t>
        </is>
      </c>
      <c r="E26" s="23" t="inlineStr">
        <is>
          <t>1/2罐</t>
        </is>
      </c>
      <c r="F26" s="15" t="inlineStr">
        <is>
          <t>4顆</t>
        </is>
      </c>
    </row>
    <row r="27" ht="22" customHeight="1">
      <c r="A27" s="23" t="inlineStr">
        <is>
          <t>週二</t>
        </is>
      </c>
      <c r="B27" s="23" t="inlineStr">
        <is>
          <t>訓練日</t>
        </is>
      </c>
      <c r="C27" s="23" t="inlineStr">
        <is>
          <t>1盒</t>
        </is>
      </c>
      <c r="D27" s="23" t="inlineStr">
        <is>
          <t>約2杯</t>
        </is>
      </c>
      <c r="E27" s="23" t="inlineStr">
        <is>
          <t>—</t>
        </is>
      </c>
      <c r="F27" s="15" t="inlineStr">
        <is>
          <t>4顆</t>
        </is>
      </c>
    </row>
    <row r="28" ht="22" customHeight="1">
      <c r="A28" s="23" t="inlineStr">
        <is>
          <t>週三</t>
        </is>
      </c>
      <c r="B28" s="23" t="inlineStr">
        <is>
          <t>休息日</t>
        </is>
      </c>
      <c r="C28" s="23" t="inlineStr">
        <is>
          <t>1盒</t>
        </is>
      </c>
      <c r="D28" s="23" t="inlineStr">
        <is>
          <t>約1.4杯</t>
        </is>
      </c>
      <c r="E28" s="23" t="inlineStr">
        <is>
          <t>—</t>
        </is>
      </c>
      <c r="F28" s="15" t="inlineStr">
        <is>
          <t>4顆</t>
        </is>
      </c>
    </row>
    <row r="29" ht="22" customHeight="1">
      <c r="A29" s="23" t="inlineStr">
        <is>
          <t>週四</t>
        </is>
      </c>
      <c r="B29" s="23" t="inlineStr">
        <is>
          <t>訓練日</t>
        </is>
      </c>
      <c r="C29" s="23" t="inlineStr">
        <is>
          <t>1盒</t>
        </is>
      </c>
      <c r="D29" s="23" t="inlineStr">
        <is>
          <t>約2杯</t>
        </is>
      </c>
      <c r="E29" s="23" t="inlineStr">
        <is>
          <t>1/2罐</t>
        </is>
      </c>
      <c r="F29" s="15" t="inlineStr">
        <is>
          <t>4顆</t>
        </is>
      </c>
    </row>
    <row r="30" ht="22" customHeight="1">
      <c r="A30" s="23" t="inlineStr">
        <is>
          <t>週五</t>
        </is>
      </c>
      <c r="B30" s="23" t="inlineStr">
        <is>
          <t>休息日</t>
        </is>
      </c>
      <c r="C30" s="23" t="inlineStr">
        <is>
          <t>1盒</t>
        </is>
      </c>
      <c r="D30" s="23" t="inlineStr">
        <is>
          <t>約1.4杯</t>
        </is>
      </c>
      <c r="E30" s="23" t="inlineStr">
        <is>
          <t>—</t>
        </is>
      </c>
      <c r="F30" s="15" t="inlineStr">
        <is>
          <t>4顆</t>
        </is>
      </c>
    </row>
    <row r="31" ht="22" customHeight="1">
      <c r="A31" s="23" t="inlineStr">
        <is>
          <t>週六</t>
        </is>
      </c>
      <c r="B31" s="23" t="inlineStr">
        <is>
          <t>訓練日</t>
        </is>
      </c>
      <c r="C31" s="23" t="inlineStr">
        <is>
          <t>1盒</t>
        </is>
      </c>
      <c r="D31" s="23" t="inlineStr">
        <is>
          <t>約2杯</t>
        </is>
      </c>
      <c r="E31" s="23" t="inlineStr">
        <is>
          <t>1/2罐</t>
        </is>
      </c>
      <c r="F31" s="15" t="inlineStr">
        <is>
          <t>4顆</t>
        </is>
      </c>
    </row>
    <row r="32" ht="22" customHeight="1">
      <c r="A32" s="23" t="inlineStr">
        <is>
          <t>週日</t>
        </is>
      </c>
      <c r="B32" s="23" t="inlineStr">
        <is>
          <t>休息日</t>
        </is>
      </c>
      <c r="C32" s="23" t="inlineStr">
        <is>
          <t>1盒</t>
        </is>
      </c>
      <c r="D32" s="23" t="inlineStr">
        <is>
          <t>約1.4杯</t>
        </is>
      </c>
      <c r="E32" s="23" t="inlineStr">
        <is>
          <t>—</t>
        </is>
      </c>
      <c r="F32" s="15" t="inlineStr">
        <is>
          <t>4顆</t>
        </is>
      </c>
    </row>
    <row r="35" ht="22" customHeight="1">
      <c r="A35" s="10" t="inlineStr">
        <is>
          <t>每週採買建議</t>
        </is>
      </c>
    </row>
    <row r="36" ht="28" customHeight="1">
      <c r="A36" s="3" t="inlineStr">
        <is>
          <t>項目</t>
        </is>
      </c>
      <c r="B36" s="3" t="inlineStr">
        <is>
          <t>數量</t>
        </is>
      </c>
    </row>
    <row r="37" ht="22" customHeight="1">
      <c r="A37" s="23" t="inlineStr">
        <is>
          <t>雞胸 300 g/盒</t>
        </is>
      </c>
      <c r="B37" s="23" t="inlineStr">
        <is>
          <t>7 盒</t>
        </is>
      </c>
    </row>
    <row r="38" ht="22" customHeight="1">
      <c r="A38" s="23" t="inlineStr">
        <is>
          <t>台糖水煮鯖魚</t>
        </is>
      </c>
      <c r="B38" s="23" t="inlineStr">
        <is>
          <t>2 罐即可（實吃 1.5 罐）</t>
        </is>
      </c>
    </row>
    <row r="39" ht="22" customHeight="1">
      <c r="A39" s="23" t="inlineStr">
        <is>
          <t>雞蛋</t>
        </is>
      </c>
      <c r="B39" s="23" t="inlineStr">
        <is>
          <t>28 顆</t>
        </is>
      </c>
    </row>
    <row r="40" ht="22" customHeight="1">
      <c r="A40" s="23" t="inlineStr">
        <is>
          <t>生米</t>
        </is>
      </c>
      <c r="B40" s="23" t="inlineStr">
        <is>
          <t>約 12.2 米杯/週</t>
        </is>
      </c>
    </row>
    <row r="41" ht="22" customHeight="1">
      <c r="A41" s="23" t="inlineStr">
        <is>
          <t>香蕉</t>
        </is>
      </c>
      <c r="B41" s="23" t="inlineStr">
        <is>
          <t>至少 4 根</t>
        </is>
      </c>
    </row>
    <row r="42" ht="22" customHeight="1">
      <c r="A42" s="23" t="inlineStr">
        <is>
          <t>青菜</t>
        </is>
      </c>
      <c r="B42" s="23" t="inlineStr">
        <is>
          <t>約 3.4 kg/週以上</t>
        </is>
      </c>
    </row>
    <row r="43" ht="22" customHeight="1">
      <c r="A43" s="23" t="inlineStr">
        <is>
          <t>樂維根麵茶植物蛋白</t>
        </is>
      </c>
      <c r="B43" s="23" t="inlineStr">
        <is>
          <t>約 11–14 份/週</t>
        </is>
      </c>
    </row>
    <row r="46" ht="22" customHeight="1">
      <c r="A46" s="10" t="inlineStr">
        <is>
          <t>替換方案</t>
        </is>
      </c>
    </row>
    <row r="47" ht="28" customHeight="1">
      <c r="A47" s="3" t="inlineStr">
        <is>
          <t>替換食物</t>
        </is>
      </c>
      <c r="B47" s="3" t="inlineStr">
        <is>
          <t>可替代</t>
        </is>
      </c>
      <c r="C47" s="3" t="inlineStr">
        <is>
          <t>建議份量</t>
        </is>
      </c>
      <c r="D47" s="3" t="inlineStr">
        <is>
          <t>使用方式</t>
        </is>
      </c>
      <c r="E47" s="3" t="inlineStr">
        <is>
          <t>蛋白質</t>
        </is>
      </c>
      <c r="F47" s="3" t="inlineStr">
        <is>
          <t>碳水</t>
        </is>
      </c>
      <c r="G47" s="3" t="inlineStr">
        <is>
          <t>脂肪</t>
        </is>
      </c>
      <c r="H47" s="3" t="inlineStr">
        <is>
          <t>備註</t>
        </is>
      </c>
    </row>
    <row r="48" ht="48" customHeight="1">
      <c r="A48" s="23" t="inlineStr">
        <is>
          <t>711 鮪魚飯糰</t>
        </is>
      </c>
      <c r="B48" s="23" t="inlineStr">
        <is>
          <t>白飯＋部分蛋白質</t>
        </is>
      </c>
      <c r="C48" s="23" t="inlineStr">
        <is>
          <t>1 顆</t>
        </is>
      </c>
      <c r="D48" s="15" t="inlineStr">
        <is>
          <t>可放午餐或下午茶；蛋白質不足時再補樂維根麵茶植物蛋白或無糖豆漿</t>
        </is>
      </c>
      <c r="E48" s="23" t="inlineStr">
        <is>
          <t>依包裝</t>
        </is>
      </c>
      <c r="F48" s="15" t="inlineStr">
        <is>
          <t>依包裝</t>
        </is>
      </c>
      <c r="G48" s="23" t="inlineStr">
        <is>
          <t>依包裝</t>
        </is>
      </c>
      <c r="H48" s="15" t="inlineStr">
        <is>
          <t>不同口味與大小以包裝標示為準</t>
        </is>
      </c>
    </row>
    <row r="49" ht="48" customHeight="1">
      <c r="A49" s="23" t="inlineStr">
        <is>
          <t>雞胗</t>
        </is>
      </c>
      <c r="B49" s="23" t="inlineStr">
        <is>
          <t>雞胸</t>
        </is>
      </c>
      <c r="C49" s="23" t="inlineStr">
        <is>
          <t>150–200 g</t>
        </is>
      </c>
      <c r="D49" s="15" t="inlineStr">
        <is>
          <t>選清滷或少油版本，替代一份雞胸；當天脂肪偏高時減少額外油脂</t>
        </is>
      </c>
      <c r="E49" s="23" t="inlineStr">
        <is>
          <t>依份量</t>
        </is>
      </c>
      <c r="F49" s="15" t="inlineStr">
        <is>
          <t>—</t>
        </is>
      </c>
      <c r="G49" s="23" t="inlineStr">
        <is>
          <t>依烹調</t>
        </is>
      </c>
      <c r="H49" s="15" t="inlineStr">
        <is>
          <t>注意滷汁、麻油與其他調味</t>
        </is>
      </c>
    </row>
    <row r="50" ht="48" customHeight="1">
      <c r="A50" s="23" t="inlineStr">
        <is>
          <t>地瓜</t>
        </is>
      </c>
      <c r="B50" s="23" t="inlineStr">
        <is>
          <t>白飯</t>
        </is>
      </c>
      <c r="C50" s="23" t="inlineStr">
        <is>
          <t>150–200 g</t>
        </is>
      </c>
      <c r="D50" s="15" t="inlineStr">
        <is>
          <t>可放午餐或下午茶，依當日 Carbs 差額調整份量</t>
        </is>
      </c>
      <c r="E50" s="23" t="inlineStr">
        <is>
          <t>—</t>
        </is>
      </c>
      <c r="F50" s="15" t="inlineStr">
        <is>
          <t>依份量</t>
        </is>
      </c>
      <c r="G50" s="23" t="inlineStr">
        <is>
          <t>—</t>
        </is>
      </c>
      <c r="H50" s="15" t="inlineStr">
        <is>
          <t>以熟重估算，實際仍以紀錄值為準</t>
        </is>
      </c>
    </row>
  </sheetData>
  <mergeCells count="7">
    <mergeCell ref="A1:H1"/>
    <mergeCell ref="A2:H2"/>
    <mergeCell ref="A4:H4"/>
    <mergeCell ref="A15:H15"/>
    <mergeCell ref="A24:F24"/>
    <mergeCell ref="A35:B35"/>
    <mergeCell ref="A46:H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2026-09-15T17:09:59Z</dcterms:created>
  <dcterms:modified xmlns:dcterms="http://purl.org/dc/terms/" xmlns:xsi="http://www.w3.org/2001/XMLSchema-instance" xsi:type="dcterms:W3CDTF">2026-09-15T17:09:59Z</dcterms:modified>
</cp:coreProperties>
</file>